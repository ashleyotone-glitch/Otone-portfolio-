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Assessment" sheetId="1" state="visible" r:id="rId1"/>
    <sheet xmlns:r="http://schemas.openxmlformats.org/officeDocument/2006/relationships" name="Credit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₦#,##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Loan Applications by Decision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'Credit 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'Credit Dashboard'!$D$4:$D$6</f>
            </numRef>
          </cat>
          <val>
            <numRef>
              <f>'Credit Dashboard'!$E$4:$E$6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Decision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oanTable" displayName="LoanTable" ref="A1:M21" headerRowCount="1">
  <autoFilter ref="A1:M21"/>
  <tableColumns count="13">
    <tableColumn id="1" name="Loan ID"/>
    <tableColumn id="2" name="Customer"/>
    <tableColumn id="3" name="Employment"/>
    <tableColumn id="4" name="Monthly Income (₦)"/>
    <tableColumn id="5" name="Existing Monthly Debt (₦)"/>
    <tableColumn id="6" name="Requested Loan (₦)"/>
    <tableColumn id="7" name="Tenor (Months)"/>
    <tableColumn id="8" name="Monthly Rate"/>
    <tableColumn id="9" name="Est. Monthly Payment (₦)"/>
    <tableColumn id="10" name="Debt-to-Income"/>
    <tableColumn id="11" name="Savings (₦)"/>
    <tableColumn id="12" name="Documents"/>
    <tableColumn id="13" name="Decis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9" customWidth="1" min="4" max="4"/>
    <col width="23" customWidth="1" min="5" max="5"/>
    <col width="20" customWidth="1" min="6" max="6"/>
    <col width="17" customWidth="1" min="7" max="7"/>
    <col width="14" customWidth="1" min="8" max="8"/>
    <col width="25" customWidth="1" min="9" max="9"/>
    <col width="17" customWidth="1" min="10" max="10"/>
    <col width="15" customWidth="1" min="11" max="11"/>
    <col width="15" customWidth="1" min="12" max="12"/>
    <col width="16" customWidth="1" min="13" max="13"/>
  </cols>
  <sheetData>
    <row r="1">
      <c r="A1" s="1" t="inlineStr">
        <is>
          <t>Loan ID</t>
        </is>
      </c>
      <c r="B1" s="1" t="inlineStr">
        <is>
          <t>Customer</t>
        </is>
      </c>
      <c r="C1" s="1" t="inlineStr">
        <is>
          <t>Employment</t>
        </is>
      </c>
      <c r="D1" s="1" t="inlineStr">
        <is>
          <t>Monthly Income (₦)</t>
        </is>
      </c>
      <c r="E1" s="1" t="inlineStr">
        <is>
          <t>Existing Monthly Debt (₦)</t>
        </is>
      </c>
      <c r="F1" s="1" t="inlineStr">
        <is>
          <t>Requested Loan (₦)</t>
        </is>
      </c>
      <c r="G1" s="1" t="inlineStr">
        <is>
          <t>Tenor (Months)</t>
        </is>
      </c>
      <c r="H1" s="1" t="inlineStr">
        <is>
          <t>Monthly Rate</t>
        </is>
      </c>
      <c r="I1" s="1" t="inlineStr">
        <is>
          <t>Est. Monthly Payment (₦)</t>
        </is>
      </c>
      <c r="J1" s="1" t="inlineStr">
        <is>
          <t>Debt-to-Income</t>
        </is>
      </c>
      <c r="K1" s="1" t="inlineStr">
        <is>
          <t>Savings (₦)</t>
        </is>
      </c>
      <c r="L1" s="1" t="inlineStr">
        <is>
          <t>Documents</t>
        </is>
      </c>
      <c r="M1" s="1" t="inlineStr">
        <is>
          <t>Decision</t>
        </is>
      </c>
    </row>
    <row r="2">
      <c r="A2" t="inlineStr">
        <is>
          <t>LN-2001</t>
        </is>
      </c>
      <c r="B2" t="inlineStr">
        <is>
          <t>Amina Yusuf</t>
        </is>
      </c>
      <c r="C2" t="inlineStr">
        <is>
          <t>Salaried</t>
        </is>
      </c>
      <c r="D2" s="2" t="n">
        <v>554286</v>
      </c>
      <c r="E2" s="2" t="n">
        <v>79540</v>
      </c>
      <c r="F2" s="2" t="n">
        <v>463384</v>
      </c>
      <c r="G2" t="n">
        <v>15</v>
      </c>
      <c r="H2" s="3" t="n">
        <v>0.03</v>
      </c>
      <c r="I2" s="2" t="n">
        <v>44794</v>
      </c>
      <c r="J2" s="3" t="n">
        <v>0.224</v>
      </c>
      <c r="K2" s="2" t="n">
        <v>421660</v>
      </c>
      <c r="L2" t="inlineStr">
        <is>
          <t>Complete</t>
        </is>
      </c>
      <c r="M2" t="inlineStr">
        <is>
          <t>Recommend</t>
        </is>
      </c>
    </row>
    <row r="3">
      <c r="A3" t="inlineStr">
        <is>
          <t>LN-2002</t>
        </is>
      </c>
      <c r="B3" t="inlineStr">
        <is>
          <t>David Okoro</t>
        </is>
      </c>
      <c r="C3" t="inlineStr">
        <is>
          <t>Contract</t>
        </is>
      </c>
      <c r="D3" s="2" t="n">
        <v>148245</v>
      </c>
      <c r="E3" s="2" t="n">
        <v>65248</v>
      </c>
      <c r="F3" s="2" t="n">
        <v>482832</v>
      </c>
      <c r="G3" t="n">
        <v>32</v>
      </c>
      <c r="H3" s="3" t="n">
        <v>0.04</v>
      </c>
      <c r="I3" s="2" t="n">
        <v>34402</v>
      </c>
      <c r="J3" s="3" t="n">
        <v>0.672</v>
      </c>
      <c r="K3" s="2" t="n">
        <v>152321</v>
      </c>
      <c r="L3" t="inlineStr">
        <is>
          <t>Complete</t>
        </is>
      </c>
      <c r="M3" t="inlineStr">
        <is>
          <t>Decline</t>
        </is>
      </c>
    </row>
    <row r="4">
      <c r="A4" t="inlineStr">
        <is>
          <t>LN-2003</t>
        </is>
      </c>
      <c r="B4" t="inlineStr">
        <is>
          <t>Bola Adeyemi</t>
        </is>
      </c>
      <c r="C4" t="inlineStr">
        <is>
          <t>Salaried</t>
        </is>
      </c>
      <c r="D4" s="2" t="n">
        <v>541098</v>
      </c>
      <c r="E4" s="2" t="n">
        <v>36055</v>
      </c>
      <c r="F4" s="2" t="n">
        <v>657958</v>
      </c>
      <c r="G4" t="n">
        <v>7</v>
      </c>
      <c r="H4" s="3" t="n">
        <v>0.03</v>
      </c>
      <c r="I4" s="2" t="n">
        <v>113733</v>
      </c>
      <c r="J4" s="3" t="n">
        <v>0.277</v>
      </c>
      <c r="K4" s="2" t="n">
        <v>446041</v>
      </c>
      <c r="L4" t="inlineStr">
        <is>
          <t>Complete</t>
        </is>
      </c>
      <c r="M4" t="inlineStr">
        <is>
          <t>Recommend</t>
        </is>
      </c>
    </row>
    <row r="5">
      <c r="A5" t="inlineStr">
        <is>
          <t>LN-2004</t>
        </is>
      </c>
      <c r="B5" t="inlineStr">
        <is>
          <t>Chisom Eze</t>
        </is>
      </c>
      <c r="C5" t="inlineStr">
        <is>
          <t>Salaried</t>
        </is>
      </c>
      <c r="D5" s="2" t="n">
        <v>340211</v>
      </c>
      <c r="E5" s="2" t="n">
        <v>86779</v>
      </c>
      <c r="F5" s="2" t="n">
        <v>646192</v>
      </c>
      <c r="G5" t="n">
        <v>9</v>
      </c>
      <c r="H5" s="3" t="n">
        <v>0.025</v>
      </c>
      <c r="I5" s="2" t="n">
        <v>87954</v>
      </c>
      <c r="J5" s="3" t="n">
        <v>0.514</v>
      </c>
      <c r="K5" s="2" t="n">
        <v>182109</v>
      </c>
      <c r="L5" t="inlineStr">
        <is>
          <t>Incomplete</t>
        </is>
      </c>
      <c r="M5" t="inlineStr">
        <is>
          <t>Review</t>
        </is>
      </c>
    </row>
    <row r="6">
      <c r="A6" t="inlineStr">
        <is>
          <t>LN-2005</t>
        </is>
      </c>
      <c r="B6" t="inlineStr">
        <is>
          <t>Fatima Bello</t>
        </is>
      </c>
      <c r="C6" t="inlineStr">
        <is>
          <t>Salaried</t>
        </is>
      </c>
      <c r="D6" s="2" t="n">
        <v>617128</v>
      </c>
      <c r="E6" s="2" t="n">
        <v>157271</v>
      </c>
      <c r="F6" s="2" t="n">
        <v>228485</v>
      </c>
      <c r="G6" t="n">
        <v>27</v>
      </c>
      <c r="H6" s="3" t="n">
        <v>0.04</v>
      </c>
      <c r="I6" s="2" t="n">
        <v>17602</v>
      </c>
      <c r="J6" s="3" t="n">
        <v>0.283</v>
      </c>
      <c r="K6" s="2" t="n">
        <v>446444</v>
      </c>
      <c r="L6" t="inlineStr">
        <is>
          <t>Complete</t>
        </is>
      </c>
      <c r="M6" t="inlineStr">
        <is>
          <t>Recommend</t>
        </is>
      </c>
    </row>
    <row r="7">
      <c r="A7" t="inlineStr">
        <is>
          <t>LN-2006</t>
        </is>
      </c>
      <c r="B7" t="inlineStr">
        <is>
          <t>Daniel James</t>
        </is>
      </c>
      <c r="C7" t="inlineStr">
        <is>
          <t>Self-employed</t>
        </is>
      </c>
      <c r="D7" s="2" t="n">
        <v>573804</v>
      </c>
      <c r="E7" s="2" t="n">
        <v>97568</v>
      </c>
      <c r="F7" s="2" t="n">
        <v>679473</v>
      </c>
      <c r="G7" t="n">
        <v>7</v>
      </c>
      <c r="H7" s="3" t="n">
        <v>0.035</v>
      </c>
      <c r="I7" s="2" t="n">
        <v>120849</v>
      </c>
      <c r="J7" s="3" t="n">
        <v>0.381</v>
      </c>
      <c r="K7" s="2" t="n">
        <v>46369</v>
      </c>
      <c r="L7" t="inlineStr">
        <is>
          <t>Incomplete</t>
        </is>
      </c>
      <c r="M7" t="inlineStr">
        <is>
          <t>Review</t>
        </is>
      </c>
    </row>
    <row r="8">
      <c r="A8" t="inlineStr">
        <is>
          <t>LN-2007</t>
        </is>
      </c>
      <c r="B8" t="inlineStr">
        <is>
          <t>Grace Johnson</t>
        </is>
      </c>
      <c r="C8" t="inlineStr">
        <is>
          <t>Salaried</t>
        </is>
      </c>
      <c r="D8" s="2" t="n">
        <v>125408</v>
      </c>
      <c r="E8" s="2" t="n">
        <v>106288</v>
      </c>
      <c r="F8" s="2" t="n">
        <v>330553</v>
      </c>
      <c r="G8" t="n">
        <v>9</v>
      </c>
      <c r="H8" s="3" t="n">
        <v>0.03</v>
      </c>
      <c r="I8" s="2" t="n">
        <v>46645</v>
      </c>
      <c r="J8" s="3" t="n">
        <v>1.219</v>
      </c>
      <c r="K8" s="2" t="n">
        <v>150322</v>
      </c>
      <c r="L8" t="inlineStr">
        <is>
          <t>Complete</t>
        </is>
      </c>
      <c r="M8" t="inlineStr">
        <is>
          <t>Decline</t>
        </is>
      </c>
    </row>
    <row r="9">
      <c r="A9" t="inlineStr">
        <is>
          <t>LN-2008</t>
        </is>
      </c>
      <c r="B9" t="inlineStr">
        <is>
          <t>Ifeanyi Obi</t>
        </is>
      </c>
      <c r="C9" t="inlineStr">
        <is>
          <t>Self-employed</t>
        </is>
      </c>
      <c r="D9" s="2" t="n">
        <v>400179</v>
      </c>
      <c r="E9" s="2" t="n">
        <v>16839</v>
      </c>
      <c r="F9" s="2" t="n">
        <v>368866</v>
      </c>
      <c r="G9" t="n">
        <v>12</v>
      </c>
      <c r="H9" s="3" t="n">
        <v>0.03</v>
      </c>
      <c r="I9" s="2" t="n">
        <v>41805</v>
      </c>
      <c r="J9" s="3" t="n">
        <v>0.147</v>
      </c>
      <c r="K9" s="2" t="n">
        <v>151162</v>
      </c>
      <c r="L9" t="inlineStr">
        <is>
          <t>Complete</t>
        </is>
      </c>
      <c r="M9" t="inlineStr">
        <is>
          <t>Recommend</t>
        </is>
      </c>
    </row>
    <row r="10">
      <c r="A10" t="inlineStr">
        <is>
          <t>LN-2009</t>
        </is>
      </c>
      <c r="B10" t="inlineStr">
        <is>
          <t>Mary Peter</t>
        </is>
      </c>
      <c r="C10" t="inlineStr">
        <is>
          <t>Salaried</t>
        </is>
      </c>
      <c r="D10" s="2" t="n">
        <v>454368</v>
      </c>
      <c r="E10" s="2" t="n">
        <v>44755</v>
      </c>
      <c r="F10" s="2" t="n">
        <v>428203</v>
      </c>
      <c r="G10" t="n">
        <v>9</v>
      </c>
      <c r="H10" s="3" t="n">
        <v>0.035</v>
      </c>
      <c r="I10" s="2" t="n">
        <v>62565</v>
      </c>
      <c r="J10" s="3" t="n">
        <v>0.236</v>
      </c>
      <c r="K10" s="2" t="n">
        <v>195694</v>
      </c>
      <c r="L10" t="inlineStr">
        <is>
          <t>Complete</t>
        </is>
      </c>
      <c r="M10" t="inlineStr">
        <is>
          <t>Recommend</t>
        </is>
      </c>
    </row>
    <row r="11">
      <c r="A11" t="inlineStr">
        <is>
          <t>LN-2010</t>
        </is>
      </c>
      <c r="B11" t="inlineStr">
        <is>
          <t>Samuel Musa</t>
        </is>
      </c>
      <c r="C11" t="inlineStr">
        <is>
          <t>Contract</t>
        </is>
      </c>
      <c r="D11" s="2" t="n">
        <v>484908</v>
      </c>
      <c r="E11" s="2" t="n">
        <v>5037</v>
      </c>
      <c r="F11" s="2" t="n">
        <v>569851</v>
      </c>
      <c r="G11" t="n">
        <v>29</v>
      </c>
      <c r="H11" s="3" t="n">
        <v>0.035</v>
      </c>
      <c r="I11" s="2" t="n">
        <v>39595</v>
      </c>
      <c r="J11" s="3" t="n">
        <v>0.092</v>
      </c>
      <c r="K11" s="2" t="n">
        <v>268413</v>
      </c>
      <c r="L11" t="inlineStr">
        <is>
          <t>Complete</t>
        </is>
      </c>
      <c r="M11" t="inlineStr">
        <is>
          <t>Recommend</t>
        </is>
      </c>
    </row>
    <row r="12">
      <c r="A12" t="inlineStr">
        <is>
          <t>LN-2011</t>
        </is>
      </c>
      <c r="B12" t="inlineStr">
        <is>
          <t>Esther Williams</t>
        </is>
      </c>
      <c r="C12" t="inlineStr">
        <is>
          <t>Self-employed</t>
        </is>
      </c>
      <c r="D12" s="2" t="n">
        <v>327922</v>
      </c>
      <c r="E12" s="2" t="n">
        <v>81209</v>
      </c>
      <c r="F12" s="2" t="n">
        <v>350612</v>
      </c>
      <c r="G12" t="n">
        <v>8</v>
      </c>
      <c r="H12" s="3" t="n">
        <v>0.04</v>
      </c>
      <c r="I12" s="2" t="n">
        <v>57851</v>
      </c>
      <c r="J12" s="3" t="n">
        <v>0.424</v>
      </c>
      <c r="K12" s="2" t="n">
        <v>30832</v>
      </c>
      <c r="L12" t="inlineStr">
        <is>
          <t>Complete</t>
        </is>
      </c>
      <c r="M12" t="inlineStr">
        <is>
          <t>Review</t>
        </is>
      </c>
    </row>
    <row r="13">
      <c r="A13" t="inlineStr">
        <is>
          <t>LN-2012</t>
        </is>
      </c>
      <c r="B13" t="inlineStr">
        <is>
          <t>Emeka Nwosu</t>
        </is>
      </c>
      <c r="C13" t="inlineStr">
        <is>
          <t>Contract</t>
        </is>
      </c>
      <c r="D13" s="2" t="n">
        <v>628442</v>
      </c>
      <c r="E13" s="2" t="n">
        <v>154703</v>
      </c>
      <c r="F13" s="2" t="n">
        <v>490594</v>
      </c>
      <c r="G13" t="n">
        <v>11</v>
      </c>
      <c r="H13" s="3" t="n">
        <v>0.03</v>
      </c>
      <c r="I13" s="2" t="n">
        <v>59317</v>
      </c>
      <c r="J13" s="3" t="n">
        <v>0.341</v>
      </c>
      <c r="K13" s="2" t="n">
        <v>151815</v>
      </c>
      <c r="L13" t="inlineStr">
        <is>
          <t>Complete</t>
        </is>
      </c>
      <c r="M13" t="inlineStr">
        <is>
          <t>Recommend</t>
        </is>
      </c>
    </row>
    <row r="14">
      <c r="A14" t="inlineStr">
        <is>
          <t>LN-2013</t>
        </is>
      </c>
      <c r="B14" t="inlineStr">
        <is>
          <t>Joy Adams</t>
        </is>
      </c>
      <c r="C14" t="inlineStr">
        <is>
          <t>Self-employed</t>
        </is>
      </c>
      <c r="D14" s="2" t="n">
        <v>235770</v>
      </c>
      <c r="E14" s="2" t="n">
        <v>55676</v>
      </c>
      <c r="F14" s="2" t="n">
        <v>132667</v>
      </c>
      <c r="G14" t="n">
        <v>32</v>
      </c>
      <c r="H14" s="3" t="n">
        <v>0.035</v>
      </c>
      <c r="I14" s="2" t="n">
        <v>8789</v>
      </c>
      <c r="J14" s="3" t="n">
        <v>0.273</v>
      </c>
      <c r="K14" s="2" t="n">
        <v>442018</v>
      </c>
      <c r="L14" t="inlineStr">
        <is>
          <t>Complete</t>
        </is>
      </c>
      <c r="M14" t="inlineStr">
        <is>
          <t>Recommend</t>
        </is>
      </c>
    </row>
    <row r="15">
      <c r="A15" t="inlineStr">
        <is>
          <t>LN-2014</t>
        </is>
      </c>
      <c r="B15" t="inlineStr">
        <is>
          <t>Abdul Ibrahim</t>
        </is>
      </c>
      <c r="C15" t="inlineStr">
        <is>
          <t>Contract</t>
        </is>
      </c>
      <c r="D15" s="2" t="n">
        <v>171844</v>
      </c>
      <c r="E15" s="2" t="n">
        <v>42323</v>
      </c>
      <c r="F15" s="2" t="n">
        <v>519350</v>
      </c>
      <c r="G15" t="n">
        <v>8</v>
      </c>
      <c r="H15" s="3" t="n">
        <v>0.035</v>
      </c>
      <c r="I15" s="2" t="n">
        <v>83096</v>
      </c>
      <c r="J15" s="3" t="n">
        <v>0.73</v>
      </c>
      <c r="K15" s="2" t="n">
        <v>459848</v>
      </c>
      <c r="L15" t="inlineStr">
        <is>
          <t>Complete</t>
        </is>
      </c>
      <c r="M15" t="inlineStr">
        <is>
          <t>Decline</t>
        </is>
      </c>
    </row>
    <row r="16">
      <c r="A16" t="inlineStr">
        <is>
          <t>LN-2015</t>
        </is>
      </c>
      <c r="B16" t="inlineStr">
        <is>
          <t>Sarah Brown</t>
        </is>
      </c>
      <c r="C16" t="inlineStr">
        <is>
          <t>Salaried</t>
        </is>
      </c>
      <c r="D16" s="2" t="n">
        <v>543291</v>
      </c>
      <c r="E16" s="2" t="n">
        <v>125895</v>
      </c>
      <c r="F16" s="2" t="n">
        <v>158661</v>
      </c>
      <c r="G16" t="n">
        <v>23</v>
      </c>
      <c r="H16" s="3" t="n">
        <v>0.025</v>
      </c>
      <c r="I16" s="2" t="n">
        <v>10865</v>
      </c>
      <c r="J16" s="3" t="n">
        <v>0.252</v>
      </c>
      <c r="K16" s="2" t="n">
        <v>304706</v>
      </c>
      <c r="L16" t="inlineStr">
        <is>
          <t>Complete</t>
        </is>
      </c>
      <c r="M16" t="inlineStr">
        <is>
          <t>Recommend</t>
        </is>
      </c>
    </row>
    <row r="17">
      <c r="A17" t="inlineStr">
        <is>
          <t>LN-2016</t>
        </is>
      </c>
      <c r="B17" t="inlineStr">
        <is>
          <t>Michael Cole</t>
        </is>
      </c>
      <c r="C17" t="inlineStr">
        <is>
          <t>Contract</t>
        </is>
      </c>
      <c r="D17" s="2" t="n">
        <v>398110</v>
      </c>
      <c r="E17" s="2" t="n">
        <v>150989</v>
      </c>
      <c r="F17" s="2" t="n">
        <v>251346</v>
      </c>
      <c r="G17" t="n">
        <v>31</v>
      </c>
      <c r="H17" s="3" t="n">
        <v>0.035</v>
      </c>
      <c r="I17" s="2" t="n">
        <v>16905</v>
      </c>
      <c r="J17" s="3" t="n">
        <v>0.422</v>
      </c>
      <c r="K17" s="2" t="n">
        <v>45803</v>
      </c>
      <c r="L17" t="inlineStr">
        <is>
          <t>Incomplete</t>
        </is>
      </c>
      <c r="M17" t="inlineStr">
        <is>
          <t>Review</t>
        </is>
      </c>
    </row>
    <row r="18">
      <c r="A18" t="inlineStr">
        <is>
          <t>LN-2017</t>
        </is>
      </c>
      <c r="B18" t="inlineStr">
        <is>
          <t>Blessing Umeh</t>
        </is>
      </c>
      <c r="C18" t="inlineStr">
        <is>
          <t>Salaried</t>
        </is>
      </c>
      <c r="D18" s="2" t="n">
        <v>531848</v>
      </c>
      <c r="E18" s="2" t="n">
        <v>127528</v>
      </c>
      <c r="F18" s="2" t="n">
        <v>313280</v>
      </c>
      <c r="G18" t="n">
        <v>23</v>
      </c>
      <c r="H18" s="3" t="n">
        <v>0.04</v>
      </c>
      <c r="I18" s="2" t="n">
        <v>26152</v>
      </c>
      <c r="J18" s="3" t="n">
        <v>0.289</v>
      </c>
      <c r="K18" s="2" t="n">
        <v>290358</v>
      </c>
      <c r="L18" t="inlineStr">
        <is>
          <t>Incomplete</t>
        </is>
      </c>
      <c r="M18" t="inlineStr">
        <is>
          <t>Review</t>
        </is>
      </c>
    </row>
    <row r="19">
      <c r="A19" t="inlineStr">
        <is>
          <t>LN-2018</t>
        </is>
      </c>
      <c r="B19" t="inlineStr">
        <is>
          <t>Tunde Adebayo</t>
        </is>
      </c>
      <c r="C19" t="inlineStr">
        <is>
          <t>Self-employed</t>
        </is>
      </c>
      <c r="D19" s="2" t="n">
        <v>601669</v>
      </c>
      <c r="E19" s="2" t="n">
        <v>57312</v>
      </c>
      <c r="F19" s="2" t="n">
        <v>320188</v>
      </c>
      <c r="G19" t="n">
        <v>21</v>
      </c>
      <c r="H19" s="3" t="n">
        <v>0.035</v>
      </c>
      <c r="I19" s="2" t="n">
        <v>26454</v>
      </c>
      <c r="J19" s="3" t="n">
        <v>0.139</v>
      </c>
      <c r="K19" s="2" t="n">
        <v>449717</v>
      </c>
      <c r="L19" t="inlineStr">
        <is>
          <t>Complete</t>
        </is>
      </c>
      <c r="M19" t="inlineStr">
        <is>
          <t>Recommend</t>
        </is>
      </c>
    </row>
    <row r="20">
      <c r="A20" t="inlineStr">
        <is>
          <t>LN-2019</t>
        </is>
      </c>
      <c r="B20" t="inlineStr">
        <is>
          <t>Ruth George</t>
        </is>
      </c>
      <c r="C20" t="inlineStr">
        <is>
          <t>Contract</t>
        </is>
      </c>
      <c r="D20" s="2" t="n">
        <v>149756</v>
      </c>
      <c r="E20" s="2" t="n">
        <v>151523</v>
      </c>
      <c r="F20" s="2" t="n">
        <v>675474</v>
      </c>
      <c r="G20" t="n">
        <v>22</v>
      </c>
      <c r="H20" s="3" t="n">
        <v>0.04</v>
      </c>
      <c r="I20" s="2" t="n">
        <v>57722</v>
      </c>
      <c r="J20" s="3" t="n">
        <v>1.397</v>
      </c>
      <c r="K20" s="2" t="n">
        <v>48147</v>
      </c>
      <c r="L20" t="inlineStr">
        <is>
          <t>Complete</t>
        </is>
      </c>
      <c r="M20" t="inlineStr">
        <is>
          <t>Decline</t>
        </is>
      </c>
    </row>
    <row r="21">
      <c r="A21" t="inlineStr">
        <is>
          <t>LN-2020</t>
        </is>
      </c>
      <c r="B21" t="inlineStr">
        <is>
          <t>Kelechi Nnamdi</t>
        </is>
      </c>
      <c r="C21" t="inlineStr">
        <is>
          <t>Salaried</t>
        </is>
      </c>
      <c r="D21" s="2" t="n">
        <v>297327</v>
      </c>
      <c r="E21" s="2" t="n">
        <v>145715</v>
      </c>
      <c r="F21" s="2" t="n">
        <v>322325</v>
      </c>
      <c r="G21" t="n">
        <v>25</v>
      </c>
      <c r="H21" s="3" t="n">
        <v>0.035</v>
      </c>
      <c r="I21" s="2" t="n">
        <v>24174</v>
      </c>
      <c r="J21" s="3" t="n">
        <v>0.571</v>
      </c>
      <c r="K21" s="2" t="n">
        <v>212913</v>
      </c>
      <c r="L21" t="inlineStr">
        <is>
          <t>Complete</t>
        </is>
      </c>
      <c r="M21" t="inlineStr">
        <is>
          <t>Decline</t>
        </is>
      </c>
    </row>
  </sheetData>
  <conditionalFormatting sqref="J2:J21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6" customWidth="1" min="5" max="5"/>
    <col width="22" customWidth="1" min="7" max="7"/>
    <col width="16" customWidth="1" min="8" max="8"/>
    <col width="18" customWidth="1" min="9" max="9"/>
  </cols>
  <sheetData>
    <row r="1">
      <c r="A1" s="4" t="inlineStr">
        <is>
          <t>CREDIT &amp; LOAN ANALYSIS</t>
        </is>
      </c>
    </row>
    <row r="3">
      <c r="A3" s="5" t="inlineStr">
        <is>
          <t>Portfolio Metric</t>
        </is>
      </c>
      <c r="B3" s="5" t="inlineStr">
        <is>
          <t>Result</t>
        </is>
      </c>
      <c r="D3" s="5" t="inlineStr">
        <is>
          <t>Decision</t>
        </is>
      </c>
      <c r="E3" s="5" t="inlineStr">
        <is>
          <t>Applications</t>
        </is>
      </c>
      <c r="G3" s="5" t="inlineStr">
        <is>
          <t>Employment</t>
        </is>
      </c>
      <c r="H3" s="5" t="inlineStr">
        <is>
          <t>Applications</t>
        </is>
      </c>
      <c r="I3" s="5" t="inlineStr">
        <is>
          <t>Avg Income</t>
        </is>
      </c>
    </row>
    <row r="4">
      <c r="A4" t="inlineStr">
        <is>
          <t>Applications</t>
        </is>
      </c>
      <c r="B4">
        <f>COUNTA('Loan Assessment'!A2:A21)</f>
        <v/>
      </c>
      <c r="D4" t="inlineStr">
        <is>
          <t>Recommend</t>
        </is>
      </c>
      <c r="E4">
        <f>COUNTIF('Loan Assessment'!M2:M21,D4)</f>
        <v/>
      </c>
      <c r="G4" t="inlineStr">
        <is>
          <t>Salaried</t>
        </is>
      </c>
      <c r="H4">
        <f>COUNTIF('Loan Assessment'!C2:C21,G4)</f>
        <v/>
      </c>
      <c r="I4" s="2">
        <f>AVERAGEIF('Loan Assessment'!C2:C21,G4,'Loan Assessment'!D2:D21)</f>
        <v/>
      </c>
    </row>
    <row r="5">
      <c r="A5" t="inlineStr">
        <is>
          <t>Total Requested</t>
        </is>
      </c>
      <c r="B5" s="2">
        <f>SUM('Loan Assessment'!F2:F21)</f>
        <v/>
      </c>
      <c r="D5" t="inlineStr">
        <is>
          <t>Review</t>
        </is>
      </c>
      <c r="E5">
        <f>COUNTIF('Loan Assessment'!M2:M21,D5)</f>
        <v/>
      </c>
      <c r="G5" t="inlineStr">
        <is>
          <t>Self-employed</t>
        </is>
      </c>
      <c r="H5">
        <f>COUNTIF('Loan Assessment'!C2:C21,G5)</f>
        <v/>
      </c>
      <c r="I5" s="2">
        <f>AVERAGEIF('Loan Assessment'!C2:C21,G5,'Loan Assessment'!D2:D21)</f>
        <v/>
      </c>
    </row>
    <row r="6">
      <c r="A6" t="inlineStr">
        <is>
          <t>Average Requested</t>
        </is>
      </c>
      <c r="B6" s="2">
        <f>AVERAGE('Loan Assessment'!F2:F21)</f>
        <v/>
      </c>
      <c r="D6" t="inlineStr">
        <is>
          <t>Decline</t>
        </is>
      </c>
      <c r="E6">
        <f>COUNTIF('Loan Assessment'!M2:M21,D6)</f>
        <v/>
      </c>
      <c r="G6" t="inlineStr">
        <is>
          <t>Contract</t>
        </is>
      </c>
      <c r="H6">
        <f>COUNTIF('Loan Assessment'!C2:C21,G6)</f>
        <v/>
      </c>
      <c r="I6" s="2">
        <f>AVERAGEIF('Loan Assessment'!C2:C21,G6,'Loan Assessment'!D2:D21)</f>
        <v/>
      </c>
    </row>
    <row r="7">
      <c r="A7" t="inlineStr">
        <is>
          <t>Average DTI</t>
        </is>
      </c>
      <c r="B7" s="3">
        <f>AVERAGE('Loan Assessment'!J2:J21)</f>
        <v/>
      </c>
    </row>
    <row r="8">
      <c r="A8" t="inlineStr">
        <is>
          <t>Recommend</t>
        </is>
      </c>
      <c r="B8">
        <f>COUNTIF('Loan Assessment'!M2:M21,"Recommend")</f>
        <v/>
      </c>
    </row>
    <row r="9">
      <c r="A9" t="inlineStr">
        <is>
          <t>Review</t>
        </is>
      </c>
      <c r="B9">
        <f>COUNTIF('Loan Assessment'!M2:M21,"Review")</f>
        <v/>
      </c>
      <c r="G9" s="6" t="inlineStr">
        <is>
          <t>How the portfolio rule works</t>
        </is>
      </c>
    </row>
    <row r="10">
      <c r="A10" t="inlineStr">
        <is>
          <t>Decline</t>
        </is>
      </c>
      <c r="B10">
        <f>COUNTIF('Loan Assessment'!M2:M21,"Decline")</f>
        <v/>
      </c>
      <c r="G10" s="7" t="inlineStr">
        <is>
          <t>Recommend: DTI ≤ 40%, savings ≥ 10% of requested amount, documents complete.</t>
        </is>
      </c>
    </row>
    <row r="11">
      <c r="G11" s="7" t="inlineStr">
        <is>
          <t>Review: moderate DTI or incomplete documentation requiring further assessment.</t>
        </is>
      </c>
    </row>
    <row r="12">
      <c r="G12" s="7" t="inlineStr">
        <is>
          <t>Decline: DTI above 55% under this simulated rule.</t>
        </is>
      </c>
    </row>
    <row r="13">
      <c r="G13" s="7" t="inlineStr">
        <is>
          <t>These thresholds are illustrative only and are NOT a bank's actual credit policy.</t>
        </is>
      </c>
    </row>
  </sheetData>
  <mergeCells count="4">
    <mergeCell ref="G11:J11"/>
    <mergeCell ref="G13:J13"/>
    <mergeCell ref="G10:J10"/>
    <mergeCell ref="G12:J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2026-10-06T11:12:28Z</dcterms:created>
  <dcterms:modified xmlns:dcterms="http://purl.org/dc/terms/" xmlns:xsi="http://www.w3.org/2001/XMLSchema-instance" xsi:type="dcterms:W3CDTF">2026-10-06T11:12:28Z</dcterms:modified>
</cp:coreProperties>
</file>