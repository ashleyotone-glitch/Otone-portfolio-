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'Analysis'!$H$4:$H$7</f>
            </numRef>
          </cat>
          <val>
            <numRef>
              <f>'Analysis'!$I$4:$I$7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Status</a:t>
            </a:r>
          </a:p>
        </rich>
      </tx>
    </title>
    <plotArea>
      <pieChart>
        <varyColors val="1"/>
        <ser>
          <idx val="0"/>
          <order val="0"/>
          <tx>
            <strRef>
              <f>'Analysis'!E8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'Analysis'!$D$9:$D$11</f>
            </numRef>
          </cat>
          <val>
            <numRef>
              <f>'Analysis'!$E$9:$E$11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12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Table" displayName="CustomerTable" ref="A1:K31" headerRowCount="1">
  <autoFilter ref="A1:K31"/>
  <tableColumns count="11">
    <tableColumn id="1" name="Customer ID"/>
    <tableColumn id="2" name="Customer Name"/>
    <tableColumn id="3" name="Age"/>
    <tableColumn id="4" name="Segment"/>
    <tableColumn id="5" name="Channel"/>
    <tableColumn id="6" name="Status"/>
    <tableColumn id="7" name="Location"/>
    <tableColumn id="8" name="Monthly Income (₦)"/>
    <tableColumn id="9" name="Account Balance (₦)"/>
    <tableColumn id="10" name="Transactions"/>
    <tableColumn id="11" name="Satisfaction (1-1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14" customWidth="1" min="5" max="5"/>
    <col width="12" customWidth="1" min="6" max="6"/>
    <col width="16" customWidth="1" min="7" max="7"/>
    <col width="20" customWidth="1" min="8" max="8"/>
    <col width="21" customWidth="1" min="9" max="9"/>
    <col width="14" customWidth="1" min="10" max="10"/>
    <col width="20" customWidth="1" min="11" max="11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Age</t>
        </is>
      </c>
      <c r="D1" s="1" t="inlineStr">
        <is>
          <t>Segment</t>
        </is>
      </c>
      <c r="E1" s="1" t="inlineStr">
        <is>
          <t>Channel</t>
        </is>
      </c>
      <c r="F1" s="1" t="inlineStr">
        <is>
          <t>Status</t>
        </is>
      </c>
      <c r="G1" s="1" t="inlineStr">
        <is>
          <t>Location</t>
        </is>
      </c>
      <c r="H1" s="1" t="inlineStr">
        <is>
          <t>Monthly Income (₦)</t>
        </is>
      </c>
      <c r="I1" s="1" t="inlineStr">
        <is>
          <t>Account Balance (₦)</t>
        </is>
      </c>
      <c r="J1" s="1" t="inlineStr">
        <is>
          <t>Transactions</t>
        </is>
      </c>
      <c r="K1" s="1" t="inlineStr">
        <is>
          <t>Satisfaction (1-10)</t>
        </is>
      </c>
    </row>
    <row r="2">
      <c r="A2" t="inlineStr">
        <is>
          <t>CUST-1001</t>
        </is>
      </c>
      <c r="B2" t="inlineStr">
        <is>
          <t>Amina Yusuf</t>
        </is>
      </c>
      <c r="C2" t="n">
        <v>28</v>
      </c>
      <c r="D2" t="inlineStr">
        <is>
          <t>Individual</t>
        </is>
      </c>
      <c r="E2" t="inlineStr">
        <is>
          <t>Branch</t>
        </is>
      </c>
      <c r="F2" t="inlineStr">
        <is>
          <t>Active</t>
        </is>
      </c>
      <c r="G2" t="inlineStr">
        <is>
          <t>Benin City</t>
        </is>
      </c>
      <c r="H2" s="2" t="n">
        <v>197473</v>
      </c>
      <c r="I2" s="2" t="n">
        <v>724570</v>
      </c>
      <c r="J2" t="n">
        <v>36</v>
      </c>
      <c r="K2" t="n">
        <v>4</v>
      </c>
    </row>
    <row r="3">
      <c r="A3" t="inlineStr">
        <is>
          <t>CUST-1002</t>
        </is>
      </c>
      <c r="B3" t="inlineStr">
        <is>
          <t>David Okoro</t>
        </is>
      </c>
      <c r="C3" t="n">
        <v>48</v>
      </c>
      <c r="D3" t="inlineStr">
        <is>
          <t>Individual</t>
        </is>
      </c>
      <c r="E3" t="inlineStr">
        <is>
          <t>Branch</t>
        </is>
      </c>
      <c r="F3" t="inlineStr">
        <is>
          <t>Active</t>
        </is>
      </c>
      <c r="G3" t="inlineStr">
        <is>
          <t>Abuja</t>
        </is>
      </c>
      <c r="H3" s="2" t="n">
        <v>117824</v>
      </c>
      <c r="I3" s="2" t="n">
        <v>603508</v>
      </c>
      <c r="J3" t="n">
        <v>14</v>
      </c>
      <c r="K3" t="n">
        <v>9</v>
      </c>
    </row>
    <row r="4">
      <c r="A4" t="inlineStr">
        <is>
          <t>CUST-1003</t>
        </is>
      </c>
      <c r="B4" t="inlineStr">
        <is>
          <t>Bola Adeyemi</t>
        </is>
      </c>
      <c r="C4" t="n">
        <v>49</v>
      </c>
      <c r="D4" t="inlineStr">
        <is>
          <t>Individual</t>
        </is>
      </c>
      <c r="E4" t="inlineStr">
        <is>
          <t>Web</t>
        </is>
      </c>
      <c r="F4" t="inlineStr">
        <is>
          <t>Active</t>
        </is>
      </c>
      <c r="G4" t="inlineStr">
        <is>
          <t>Port Harcourt</t>
        </is>
      </c>
      <c r="H4" s="2" t="n">
        <v>257414</v>
      </c>
      <c r="I4" s="2" t="n">
        <v>747052</v>
      </c>
      <c r="J4" t="n">
        <v>29</v>
      </c>
      <c r="K4" t="n">
        <v>8</v>
      </c>
    </row>
    <row r="5">
      <c r="A5" t="inlineStr">
        <is>
          <t>CUST-1004</t>
        </is>
      </c>
      <c r="B5" t="inlineStr">
        <is>
          <t>Chisom Eze</t>
        </is>
      </c>
      <c r="C5" t="n">
        <v>30</v>
      </c>
      <c r="D5" t="inlineStr">
        <is>
          <t>Individual</t>
        </is>
      </c>
      <c r="E5" t="inlineStr">
        <is>
          <t>Web</t>
        </is>
      </c>
      <c r="F5" t="inlineStr">
        <is>
          <t>Active</t>
        </is>
      </c>
      <c r="G5" t="inlineStr">
        <is>
          <t>Benin City</t>
        </is>
      </c>
      <c r="H5" s="2" t="n">
        <v>488382</v>
      </c>
      <c r="I5" s="2" t="n">
        <v>116414</v>
      </c>
      <c r="J5" t="n">
        <v>24</v>
      </c>
      <c r="K5" t="n">
        <v>8</v>
      </c>
    </row>
    <row r="6">
      <c r="A6" t="inlineStr">
        <is>
          <t>CUST-1005</t>
        </is>
      </c>
      <c r="B6" t="inlineStr">
        <is>
          <t>Fatima Bello</t>
        </is>
      </c>
      <c r="C6" t="n">
        <v>37</v>
      </c>
      <c r="D6" t="inlineStr">
        <is>
          <t>SME</t>
        </is>
      </c>
      <c r="E6" t="inlineStr">
        <is>
          <t>Web</t>
        </is>
      </c>
      <c r="F6" t="inlineStr">
        <is>
          <t>Active</t>
        </is>
      </c>
      <c r="G6" t="inlineStr">
        <is>
          <t>Benin City</t>
        </is>
      </c>
      <c r="H6" s="2" t="n">
        <v>486922</v>
      </c>
      <c r="I6" s="2" t="n">
        <v>97627</v>
      </c>
      <c r="J6" t="n">
        <v>37</v>
      </c>
      <c r="K6" t="n">
        <v>7</v>
      </c>
    </row>
    <row r="7">
      <c r="A7" t="inlineStr">
        <is>
          <t>CUST-1006</t>
        </is>
      </c>
      <c r="B7" t="inlineStr">
        <is>
          <t>Daniel James</t>
        </is>
      </c>
      <c r="C7" t="n">
        <v>44</v>
      </c>
      <c r="D7" t="inlineStr">
        <is>
          <t>Individual</t>
        </is>
      </c>
      <c r="E7" t="inlineStr">
        <is>
          <t>Web</t>
        </is>
      </c>
      <c r="F7" t="inlineStr">
        <is>
          <t>Active</t>
        </is>
      </c>
      <c r="G7" t="inlineStr">
        <is>
          <t>Abuja</t>
        </is>
      </c>
      <c r="H7" s="2" t="n">
        <v>328968</v>
      </c>
      <c r="I7" s="2" t="n">
        <v>825620</v>
      </c>
      <c r="J7" t="n">
        <v>20</v>
      </c>
      <c r="K7" t="n">
        <v>4</v>
      </c>
    </row>
    <row r="8">
      <c r="A8" t="inlineStr">
        <is>
          <t>CUST-1007</t>
        </is>
      </c>
      <c r="B8" t="inlineStr">
        <is>
          <t>Grace Johnson</t>
        </is>
      </c>
      <c r="C8" t="n">
        <v>27</v>
      </c>
      <c r="D8" t="inlineStr">
        <is>
          <t>Individual</t>
        </is>
      </c>
      <c r="E8" t="inlineStr">
        <is>
          <t>Mobile App</t>
        </is>
      </c>
      <c r="F8" t="inlineStr">
        <is>
          <t>Inactive</t>
        </is>
      </c>
      <c r="G8" t="inlineStr">
        <is>
          <t>Port Harcourt</t>
        </is>
      </c>
      <c r="H8" s="2" t="n">
        <v>260555</v>
      </c>
      <c r="I8" s="2" t="n">
        <v>403162</v>
      </c>
      <c r="J8" t="n">
        <v>24</v>
      </c>
      <c r="K8" t="n">
        <v>6</v>
      </c>
    </row>
    <row r="9">
      <c r="A9" t="inlineStr">
        <is>
          <t>CUST-1008</t>
        </is>
      </c>
      <c r="B9" t="inlineStr">
        <is>
          <t>Ifeanyi Obi</t>
        </is>
      </c>
      <c r="C9" t="n">
        <v>25</v>
      </c>
      <c r="D9" t="inlineStr">
        <is>
          <t>Individual</t>
        </is>
      </c>
      <c r="E9" t="inlineStr">
        <is>
          <t>Branch</t>
        </is>
      </c>
      <c r="F9" t="inlineStr">
        <is>
          <t>Inactive</t>
        </is>
      </c>
      <c r="G9" t="inlineStr">
        <is>
          <t>Benin City</t>
        </is>
      </c>
      <c r="H9" s="2" t="n">
        <v>261339</v>
      </c>
      <c r="I9" s="2" t="n">
        <v>499714</v>
      </c>
      <c r="J9" t="n">
        <v>26</v>
      </c>
      <c r="K9" t="n">
        <v>7</v>
      </c>
    </row>
    <row r="10">
      <c r="A10" t="inlineStr">
        <is>
          <t>CUST-1009</t>
        </is>
      </c>
      <c r="B10" t="inlineStr">
        <is>
          <t>Mary Peter</t>
        </is>
      </c>
      <c r="C10" t="n">
        <v>35</v>
      </c>
      <c r="D10" t="inlineStr">
        <is>
          <t>Individual</t>
        </is>
      </c>
      <c r="E10" t="inlineStr">
        <is>
          <t>Web</t>
        </is>
      </c>
      <c r="F10" t="inlineStr">
        <is>
          <t>Inactive</t>
        </is>
      </c>
      <c r="G10" t="inlineStr">
        <is>
          <t>Port Harcourt</t>
        </is>
      </c>
      <c r="H10" s="2" t="n">
        <v>330174</v>
      </c>
      <c r="I10" s="2" t="n">
        <v>48659</v>
      </c>
      <c r="J10" t="n">
        <v>22</v>
      </c>
      <c r="K10" t="n">
        <v>9</v>
      </c>
    </row>
    <row r="11">
      <c r="A11" t="inlineStr">
        <is>
          <t>CUST-1010</t>
        </is>
      </c>
      <c r="B11" t="inlineStr">
        <is>
          <t>Samuel Musa</t>
        </is>
      </c>
      <c r="C11" t="n">
        <v>25</v>
      </c>
      <c r="D11" t="inlineStr">
        <is>
          <t>Individual</t>
        </is>
      </c>
      <c r="E11" t="inlineStr">
        <is>
          <t>Agent</t>
        </is>
      </c>
      <c r="F11" t="inlineStr">
        <is>
          <t>Inactive</t>
        </is>
      </c>
      <c r="G11" t="inlineStr">
        <is>
          <t>Ibadan</t>
        </is>
      </c>
      <c r="H11" s="2" t="n">
        <v>419963</v>
      </c>
      <c r="I11" s="2" t="n">
        <v>237955</v>
      </c>
      <c r="J11" t="n">
        <v>33</v>
      </c>
      <c r="K11" t="n">
        <v>9</v>
      </c>
    </row>
    <row r="12">
      <c r="A12" t="inlineStr">
        <is>
          <t>CUST-1011</t>
        </is>
      </c>
      <c r="B12" t="inlineStr">
        <is>
          <t>Esther Williams</t>
        </is>
      </c>
      <c r="C12" t="n">
        <v>30</v>
      </c>
      <c r="D12" t="inlineStr">
        <is>
          <t>Individual</t>
        </is>
      </c>
      <c r="E12" t="inlineStr">
        <is>
          <t>Branch</t>
        </is>
      </c>
      <c r="F12" t="inlineStr">
        <is>
          <t>Active</t>
        </is>
      </c>
      <c r="G12" t="inlineStr">
        <is>
          <t>Port Harcourt</t>
        </is>
      </c>
      <c r="H12" s="2" t="n">
        <v>365504</v>
      </c>
      <c r="I12" s="2" t="n">
        <v>798300</v>
      </c>
      <c r="J12" t="n">
        <v>29</v>
      </c>
      <c r="K12" t="n">
        <v>9</v>
      </c>
    </row>
    <row r="13">
      <c r="A13" t="inlineStr">
        <is>
          <t>CUST-1012</t>
        </is>
      </c>
      <c r="B13" t="inlineStr">
        <is>
          <t>Emeka Nwosu</t>
        </is>
      </c>
      <c r="C13" t="n">
        <v>35</v>
      </c>
      <c r="D13" t="inlineStr">
        <is>
          <t>SME</t>
        </is>
      </c>
      <c r="E13" t="inlineStr">
        <is>
          <t>Branch</t>
        </is>
      </c>
      <c r="F13" t="inlineStr">
        <is>
          <t>Active</t>
        </is>
      </c>
      <c r="G13" t="inlineStr">
        <is>
          <t>Ibadan</t>
        </is>
      </c>
      <c r="H13" s="2" t="n">
        <v>139405</v>
      </c>
      <c r="I13" s="2" t="n">
        <v>129975</v>
      </c>
      <c r="J13" t="n">
        <v>11</v>
      </c>
      <c r="K13" t="n">
        <v>5</v>
      </c>
    </row>
    <row r="14">
      <c r="A14" t="inlineStr">
        <is>
          <t>CUST-1013</t>
        </is>
      </c>
      <c r="B14" t="inlineStr">
        <is>
          <t>Joy Adams</t>
        </is>
      </c>
      <c r="C14" t="n">
        <v>25</v>
      </c>
      <c r="D14" t="inlineStr">
        <is>
          <t>Individual</t>
        </is>
      </c>
      <c r="E14" t="inlineStr">
        <is>
          <t>Mobile App</t>
        </is>
      </c>
      <c r="F14" t="inlineStr">
        <is>
          <t>Active</t>
        </is>
      </c>
      <c r="G14" t="inlineStr">
        <is>
          <t>Benin City</t>
        </is>
      </c>
      <c r="H14" s="2" t="n">
        <v>353626</v>
      </c>
      <c r="I14" s="2" t="n">
        <v>595099</v>
      </c>
      <c r="J14" t="n">
        <v>2</v>
      </c>
      <c r="K14" t="n">
        <v>4</v>
      </c>
    </row>
    <row r="15">
      <c r="A15" t="inlineStr">
        <is>
          <t>CUST-1014</t>
        </is>
      </c>
      <c r="B15" t="inlineStr">
        <is>
          <t>Abdul Ibrahim</t>
        </is>
      </c>
      <c r="C15" t="n">
        <v>38</v>
      </c>
      <c r="D15" t="inlineStr">
        <is>
          <t>SME</t>
        </is>
      </c>
      <c r="E15" t="inlineStr">
        <is>
          <t>Mobile App</t>
        </is>
      </c>
      <c r="F15" t="inlineStr">
        <is>
          <t>Active</t>
        </is>
      </c>
      <c r="G15" t="inlineStr">
        <is>
          <t>Benin City</t>
        </is>
      </c>
      <c r="H15" s="2" t="n">
        <v>255840</v>
      </c>
      <c r="I15" s="2" t="n">
        <v>490763</v>
      </c>
      <c r="J15" t="n">
        <v>2</v>
      </c>
      <c r="K15" t="n">
        <v>7</v>
      </c>
    </row>
    <row r="16">
      <c r="A16" t="inlineStr">
        <is>
          <t>CUST-1015</t>
        </is>
      </c>
      <c r="B16" t="inlineStr">
        <is>
          <t>Sarah Brown</t>
        </is>
      </c>
      <c r="C16" t="n">
        <v>32</v>
      </c>
      <c r="D16" t="inlineStr">
        <is>
          <t>Individual</t>
        </is>
      </c>
      <c r="E16" t="inlineStr">
        <is>
          <t>Branch</t>
        </is>
      </c>
      <c r="F16" t="inlineStr">
        <is>
          <t>Active</t>
        </is>
      </c>
      <c r="G16" t="inlineStr">
        <is>
          <t>Port Harcourt</t>
        </is>
      </c>
      <c r="H16" s="2" t="n">
        <v>622323</v>
      </c>
      <c r="I16" s="2" t="n">
        <v>653551</v>
      </c>
      <c r="J16" t="n">
        <v>14</v>
      </c>
      <c r="K16" t="n">
        <v>5</v>
      </c>
    </row>
    <row r="17">
      <c r="A17" t="inlineStr">
        <is>
          <t>CUST-1016</t>
        </is>
      </c>
      <c r="B17" t="inlineStr">
        <is>
          <t>Michael Cole</t>
        </is>
      </c>
      <c r="C17" t="n">
        <v>31</v>
      </c>
      <c r="D17" t="inlineStr">
        <is>
          <t>Individual</t>
        </is>
      </c>
      <c r="E17" t="inlineStr">
        <is>
          <t>Web</t>
        </is>
      </c>
      <c r="F17" t="inlineStr">
        <is>
          <t>Active</t>
        </is>
      </c>
      <c r="G17" t="inlineStr">
        <is>
          <t>Lagos</t>
        </is>
      </c>
      <c r="H17" s="2" t="n">
        <v>90599</v>
      </c>
      <c r="I17" s="2" t="n">
        <v>643038</v>
      </c>
      <c r="J17" t="n">
        <v>22</v>
      </c>
      <c r="K17" t="n">
        <v>10</v>
      </c>
    </row>
    <row r="18">
      <c r="A18" t="inlineStr">
        <is>
          <t>CUST-1017</t>
        </is>
      </c>
      <c r="B18" t="inlineStr">
        <is>
          <t>Blessing Umeh</t>
        </is>
      </c>
      <c r="C18" t="n">
        <v>28</v>
      </c>
      <c r="D18" t="inlineStr">
        <is>
          <t>SME</t>
        </is>
      </c>
      <c r="E18" t="inlineStr">
        <is>
          <t>Agent</t>
        </is>
      </c>
      <c r="F18" t="inlineStr">
        <is>
          <t>Inactive</t>
        </is>
      </c>
      <c r="G18" t="inlineStr">
        <is>
          <t>Benin City</t>
        </is>
      </c>
      <c r="H18" s="2" t="n">
        <v>412451</v>
      </c>
      <c r="I18" s="2" t="n">
        <v>266083</v>
      </c>
      <c r="J18" t="n">
        <v>5</v>
      </c>
      <c r="K18" t="n">
        <v>6</v>
      </c>
    </row>
    <row r="19">
      <c r="A19" t="inlineStr">
        <is>
          <t>CUST-1018</t>
        </is>
      </c>
      <c r="B19" t="inlineStr">
        <is>
          <t>Tunde Adebayo</t>
        </is>
      </c>
      <c r="C19" t="n">
        <v>26</v>
      </c>
      <c r="D19" t="inlineStr">
        <is>
          <t>Individual</t>
        </is>
      </c>
      <c r="E19" t="inlineStr">
        <is>
          <t>Mobile App</t>
        </is>
      </c>
      <c r="F19" t="inlineStr">
        <is>
          <t>Active</t>
        </is>
      </c>
      <c r="G19" t="inlineStr">
        <is>
          <t>Ibadan</t>
        </is>
      </c>
      <c r="H19" s="2" t="n">
        <v>648582</v>
      </c>
      <c r="I19" s="2" t="n">
        <v>818035</v>
      </c>
      <c r="J19" t="n">
        <v>10</v>
      </c>
      <c r="K19" t="n">
        <v>5</v>
      </c>
    </row>
    <row r="20">
      <c r="A20" t="inlineStr">
        <is>
          <t>CUST-1019</t>
        </is>
      </c>
      <c r="B20" t="inlineStr">
        <is>
          <t>Ruth George</t>
        </is>
      </c>
      <c r="C20" t="n">
        <v>56</v>
      </c>
      <c r="D20" t="inlineStr">
        <is>
          <t>Individual</t>
        </is>
      </c>
      <c r="E20" t="inlineStr">
        <is>
          <t>Mobile App</t>
        </is>
      </c>
      <c r="F20" t="inlineStr">
        <is>
          <t>Active</t>
        </is>
      </c>
      <c r="G20" t="inlineStr">
        <is>
          <t>Ibadan</t>
        </is>
      </c>
      <c r="H20" s="2" t="n">
        <v>312086</v>
      </c>
      <c r="I20" s="2" t="n">
        <v>580492</v>
      </c>
      <c r="J20" t="n">
        <v>14</v>
      </c>
      <c r="K20" t="n">
        <v>7</v>
      </c>
    </row>
    <row r="21">
      <c r="A21" t="inlineStr">
        <is>
          <t>CUST-1020</t>
        </is>
      </c>
      <c r="B21" t="inlineStr">
        <is>
          <t>Kelechi Nnamdi</t>
        </is>
      </c>
      <c r="C21" t="n">
        <v>44</v>
      </c>
      <c r="D21" t="inlineStr">
        <is>
          <t>Individual</t>
        </is>
      </c>
      <c r="E21" t="inlineStr">
        <is>
          <t>Mobile App</t>
        </is>
      </c>
      <c r="F21" t="inlineStr">
        <is>
          <t>Active</t>
        </is>
      </c>
      <c r="G21" t="inlineStr">
        <is>
          <t>Benin City</t>
        </is>
      </c>
      <c r="H21" s="2" t="n">
        <v>325612</v>
      </c>
      <c r="I21" s="2" t="n">
        <v>82136</v>
      </c>
      <c r="J21" t="n">
        <v>23</v>
      </c>
      <c r="K21" t="n">
        <v>3</v>
      </c>
    </row>
    <row r="22">
      <c r="A22" t="inlineStr">
        <is>
          <t>CUST-1021</t>
        </is>
      </c>
      <c r="B22" t="inlineStr">
        <is>
          <t>Peace Daniel</t>
        </is>
      </c>
      <c r="C22" t="n">
        <v>56</v>
      </c>
      <c r="D22" t="inlineStr">
        <is>
          <t>Individual</t>
        </is>
      </c>
      <c r="E22" t="inlineStr">
        <is>
          <t>Branch</t>
        </is>
      </c>
      <c r="F22" t="inlineStr">
        <is>
          <t>Active</t>
        </is>
      </c>
      <c r="G22" t="inlineStr">
        <is>
          <t>Port Harcourt</t>
        </is>
      </c>
      <c r="H22" s="2" t="n">
        <v>151733</v>
      </c>
      <c r="I22" s="2" t="n">
        <v>255062</v>
      </c>
      <c r="J22" t="n">
        <v>6</v>
      </c>
      <c r="K22" t="n">
        <v>3</v>
      </c>
    </row>
    <row r="23">
      <c r="A23" t="inlineStr">
        <is>
          <t>CUST-1022</t>
        </is>
      </c>
      <c r="B23" t="inlineStr">
        <is>
          <t>Victor Ojo</t>
        </is>
      </c>
      <c r="C23" t="n">
        <v>25</v>
      </c>
      <c r="D23" t="inlineStr">
        <is>
          <t>Individual</t>
        </is>
      </c>
      <c r="E23" t="inlineStr">
        <is>
          <t>Branch</t>
        </is>
      </c>
      <c r="F23" t="inlineStr">
        <is>
          <t>Active</t>
        </is>
      </c>
      <c r="G23" t="inlineStr">
        <is>
          <t>Abuja</t>
        </is>
      </c>
      <c r="H23" s="2" t="n">
        <v>228739</v>
      </c>
      <c r="I23" s="2" t="n">
        <v>773490</v>
      </c>
      <c r="J23" t="n">
        <v>38</v>
      </c>
      <c r="K23" t="n">
        <v>10</v>
      </c>
    </row>
    <row r="24">
      <c r="A24" t="inlineStr">
        <is>
          <t>CUST-1023</t>
        </is>
      </c>
      <c r="B24" t="inlineStr">
        <is>
          <t>Hauwa Ahmed</t>
        </is>
      </c>
      <c r="C24" t="n">
        <v>51</v>
      </c>
      <c r="D24" t="inlineStr">
        <is>
          <t>SME</t>
        </is>
      </c>
      <c r="E24" t="inlineStr">
        <is>
          <t>Branch</t>
        </is>
      </c>
      <c r="F24" t="inlineStr">
        <is>
          <t>Active</t>
        </is>
      </c>
      <c r="G24" t="inlineStr">
        <is>
          <t>Ibadan</t>
        </is>
      </c>
      <c r="H24" s="2" t="n">
        <v>541989</v>
      </c>
      <c r="I24" s="2" t="n">
        <v>386507</v>
      </c>
      <c r="J24" t="n">
        <v>29</v>
      </c>
      <c r="K24" t="n">
        <v>9</v>
      </c>
    </row>
    <row r="25">
      <c r="A25" t="inlineStr">
        <is>
          <t>CUST-1024</t>
        </is>
      </c>
      <c r="B25" t="inlineStr">
        <is>
          <t>Joshua White</t>
        </is>
      </c>
      <c r="C25" t="n">
        <v>24</v>
      </c>
      <c r="D25" t="inlineStr">
        <is>
          <t>Individual</t>
        </is>
      </c>
      <c r="E25" t="inlineStr">
        <is>
          <t>Agent</t>
        </is>
      </c>
      <c r="F25" t="inlineStr">
        <is>
          <t>Active</t>
        </is>
      </c>
      <c r="G25" t="inlineStr">
        <is>
          <t>Abuja</t>
        </is>
      </c>
      <c r="H25" s="2" t="n">
        <v>512179</v>
      </c>
      <c r="I25" s="2" t="n">
        <v>778587</v>
      </c>
      <c r="J25" t="n">
        <v>23</v>
      </c>
      <c r="K25" t="n">
        <v>4</v>
      </c>
    </row>
    <row r="26">
      <c r="A26" t="inlineStr">
        <is>
          <t>CUST-1025</t>
        </is>
      </c>
      <c r="B26" t="inlineStr">
        <is>
          <t>Favour James</t>
        </is>
      </c>
      <c r="C26" t="n">
        <v>33</v>
      </c>
      <c r="D26" t="inlineStr">
        <is>
          <t>Individual</t>
        </is>
      </c>
      <c r="E26" t="inlineStr">
        <is>
          <t>Mobile App</t>
        </is>
      </c>
      <c r="F26" t="inlineStr">
        <is>
          <t>Active</t>
        </is>
      </c>
      <c r="G26" t="inlineStr">
        <is>
          <t>Ibadan</t>
        </is>
      </c>
      <c r="H26" s="2" t="n">
        <v>382075</v>
      </c>
      <c r="I26" s="2" t="n">
        <v>500100</v>
      </c>
      <c r="J26" t="n">
        <v>17</v>
      </c>
      <c r="K26" t="n">
        <v>4</v>
      </c>
    </row>
    <row r="27">
      <c r="A27" t="inlineStr">
        <is>
          <t>CUST-1026</t>
        </is>
      </c>
      <c r="B27" t="inlineStr">
        <is>
          <t>Deborah Paul</t>
        </is>
      </c>
      <c r="C27" t="n">
        <v>56</v>
      </c>
      <c r="D27" t="inlineStr">
        <is>
          <t>Individual</t>
        </is>
      </c>
      <c r="E27" t="inlineStr">
        <is>
          <t>Web</t>
        </is>
      </c>
      <c r="F27" t="inlineStr">
        <is>
          <t>Active</t>
        </is>
      </c>
      <c r="G27" t="inlineStr">
        <is>
          <t>Ibadan</t>
        </is>
      </c>
      <c r="H27" s="2" t="n">
        <v>105474</v>
      </c>
      <c r="I27" s="2" t="n">
        <v>112793</v>
      </c>
      <c r="J27" t="n">
        <v>17</v>
      </c>
      <c r="K27" t="n">
        <v>5</v>
      </c>
    </row>
    <row r="28">
      <c r="A28" t="inlineStr">
        <is>
          <t>CUST-1027</t>
        </is>
      </c>
      <c r="B28" t="inlineStr">
        <is>
          <t>Kingsley Obi</t>
        </is>
      </c>
      <c r="C28" t="n">
        <v>52</v>
      </c>
      <c r="D28" t="inlineStr">
        <is>
          <t>Individual</t>
        </is>
      </c>
      <c r="E28" t="inlineStr">
        <is>
          <t>Agent</t>
        </is>
      </c>
      <c r="F28" t="inlineStr">
        <is>
          <t>Pending</t>
        </is>
      </c>
      <c r="G28" t="inlineStr">
        <is>
          <t>Port Harcourt</t>
        </is>
      </c>
      <c r="H28" s="2" t="n">
        <v>262634</v>
      </c>
      <c r="I28" s="2" t="n">
        <v>412382</v>
      </c>
      <c r="J28" t="n">
        <v>2</v>
      </c>
      <c r="K28" t="n">
        <v>9</v>
      </c>
    </row>
    <row r="29">
      <c r="A29" t="inlineStr">
        <is>
          <t>CUST-1028</t>
        </is>
      </c>
      <c r="B29" t="inlineStr">
        <is>
          <t>Mariam Ali</t>
        </is>
      </c>
      <c r="C29" t="n">
        <v>50</v>
      </c>
      <c r="D29" t="inlineStr">
        <is>
          <t>Individual</t>
        </is>
      </c>
      <c r="E29" t="inlineStr">
        <is>
          <t>Web</t>
        </is>
      </c>
      <c r="F29" t="inlineStr">
        <is>
          <t>Inactive</t>
        </is>
      </c>
      <c r="G29" t="inlineStr">
        <is>
          <t>Abuja</t>
        </is>
      </c>
      <c r="H29" s="2" t="n">
        <v>600311</v>
      </c>
      <c r="I29" s="2" t="n">
        <v>177316</v>
      </c>
      <c r="J29" t="n">
        <v>14</v>
      </c>
      <c r="K29" t="n">
        <v>7</v>
      </c>
    </row>
    <row r="30">
      <c r="A30" t="inlineStr">
        <is>
          <t>CUST-1029</t>
        </is>
      </c>
      <c r="B30" t="inlineStr">
        <is>
          <t>Henry Smart</t>
        </is>
      </c>
      <c r="C30" t="n">
        <v>24</v>
      </c>
      <c r="D30" t="inlineStr">
        <is>
          <t>Individual</t>
        </is>
      </c>
      <c r="E30" t="inlineStr">
        <is>
          <t>Mobile App</t>
        </is>
      </c>
      <c r="F30" t="inlineStr">
        <is>
          <t>Inactive</t>
        </is>
      </c>
      <c r="G30" t="inlineStr">
        <is>
          <t>Lagos</t>
        </is>
      </c>
      <c r="H30" s="2" t="n">
        <v>149942</v>
      </c>
      <c r="I30" s="2" t="n">
        <v>67578</v>
      </c>
      <c r="J30" t="n">
        <v>32</v>
      </c>
      <c r="K30" t="n">
        <v>5</v>
      </c>
    </row>
    <row r="31">
      <c r="A31" t="inlineStr">
        <is>
          <t>CUST-1030</t>
        </is>
      </c>
      <c r="B31" t="inlineStr">
        <is>
          <t>Adaeze Okafor</t>
        </is>
      </c>
      <c r="C31" t="n">
        <v>53</v>
      </c>
      <c r="D31" t="inlineStr">
        <is>
          <t>Individual</t>
        </is>
      </c>
      <c r="E31" t="inlineStr">
        <is>
          <t>Branch</t>
        </is>
      </c>
      <c r="F31" t="inlineStr">
        <is>
          <t>Active</t>
        </is>
      </c>
      <c r="G31" t="inlineStr">
        <is>
          <t>Benin City</t>
        </is>
      </c>
      <c r="H31" s="2" t="n">
        <v>336629</v>
      </c>
      <c r="I31" s="2" t="n">
        <v>438389</v>
      </c>
      <c r="J31" t="n">
        <v>9</v>
      </c>
      <c r="K3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4" max="4"/>
    <col width="14" customWidth="1" min="5" max="5"/>
    <col width="18" customWidth="1" min="6" max="6"/>
    <col width="24" customWidth="1" min="8" max="8"/>
    <col width="14" customWidth="1" min="9" max="9"/>
    <col width="20" customWidth="1" min="10" max="10"/>
  </cols>
  <sheetData>
    <row r="1">
      <c r="A1" s="3" t="inlineStr">
        <is>
          <t>CUSTOMER DATA ANALYSIS</t>
        </is>
      </c>
    </row>
    <row r="3">
      <c r="A3" s="4" t="inlineStr">
        <is>
          <t>Metric</t>
        </is>
      </c>
      <c r="B3" s="4" t="inlineStr">
        <is>
          <t>Result</t>
        </is>
      </c>
      <c r="D3" s="4" t="inlineStr">
        <is>
          <t>Segment</t>
        </is>
      </c>
      <c r="E3" s="4" t="inlineStr">
        <is>
          <t>Customers</t>
        </is>
      </c>
      <c r="F3" s="4" t="inlineStr">
        <is>
          <t>Avg Balance</t>
        </is>
      </c>
      <c r="H3" s="4" t="inlineStr">
        <is>
          <t>Channel</t>
        </is>
      </c>
      <c r="I3" s="4" t="inlineStr">
        <is>
          <t>Customers</t>
        </is>
      </c>
      <c r="J3" s="4" t="inlineStr">
        <is>
          <t>Avg Satisfaction</t>
        </is>
      </c>
    </row>
    <row r="4">
      <c r="A4" t="inlineStr">
        <is>
          <t>Total Customers</t>
        </is>
      </c>
      <c r="B4">
        <f>COUNTA('Customer Data'!A2:A31)</f>
        <v/>
      </c>
      <c r="D4" t="inlineStr">
        <is>
          <t>Individual</t>
        </is>
      </c>
      <c r="E4">
        <f>COUNTIF('Customer Data'!D2:D31,D4)</f>
        <v/>
      </c>
      <c r="F4" s="2">
        <f>AVERAGEIF('Customer Data'!D2:D31,D4,'Customer Data'!I2:I31)</f>
        <v/>
      </c>
      <c r="H4" t="inlineStr">
        <is>
          <t>Branch</t>
        </is>
      </c>
      <c r="I4">
        <f>COUNTIF('Customer Data'!E2:E31,H4)</f>
        <v/>
      </c>
      <c r="J4">
        <f>AVERAGEIF('Customer Data'!E2:E31,H4,'Customer Data'!K2:K31)</f>
        <v/>
      </c>
    </row>
    <row r="5">
      <c r="A5" t="inlineStr">
        <is>
          <t>Average Monthly Income</t>
        </is>
      </c>
      <c r="B5" s="2">
        <f>AVERAGE('Customer Data'!H2:H31)</f>
        <v/>
      </c>
      <c r="D5" t="inlineStr">
        <is>
          <t>SME</t>
        </is>
      </c>
      <c r="E5">
        <f>COUNTIF('Customer Data'!D2:D31,D5)</f>
        <v/>
      </c>
      <c r="F5" s="2">
        <f>AVERAGEIF('Customer Data'!D2:D31,D5,'Customer Data'!I2:I31)</f>
        <v/>
      </c>
      <c r="H5" t="inlineStr">
        <is>
          <t>Mobile App</t>
        </is>
      </c>
      <c r="I5">
        <f>COUNTIF('Customer Data'!E2:E31,H5)</f>
        <v/>
      </c>
      <c r="J5">
        <f>AVERAGEIF('Customer Data'!E2:E31,H5,'Customer Data'!K2:K31)</f>
        <v/>
      </c>
    </row>
    <row r="6">
      <c r="A6" t="inlineStr">
        <is>
          <t>Average Account Balance</t>
        </is>
      </c>
      <c r="B6" s="2">
        <f>AVERAGE('Customer Data'!I2:I31)</f>
        <v/>
      </c>
      <c r="H6" t="inlineStr">
        <is>
          <t>Web</t>
        </is>
      </c>
      <c r="I6">
        <f>COUNTIF('Customer Data'!E2:E31,H6)</f>
        <v/>
      </c>
      <c r="J6">
        <f>AVERAGEIF('Customer Data'!E2:E31,H6,'Customer Data'!K2:K31)</f>
        <v/>
      </c>
    </row>
    <row r="7">
      <c r="A7" t="inlineStr">
        <is>
          <t>Average Transactions</t>
        </is>
      </c>
      <c r="B7" s="5">
        <f>AVERAGE('Customer Data'!J2:J31)</f>
        <v/>
      </c>
      <c r="H7" t="inlineStr">
        <is>
          <t>Agent</t>
        </is>
      </c>
      <c r="I7">
        <f>COUNTIF('Customer Data'!E2:E31,H7)</f>
        <v/>
      </c>
      <c r="J7">
        <f>AVERAGEIF('Customer Data'!E2:E31,H7,'Customer Data'!K2:K31)</f>
        <v/>
      </c>
    </row>
    <row r="8">
      <c r="A8" t="inlineStr">
        <is>
          <t>Average Satisfaction</t>
        </is>
      </c>
      <c r="B8" s="5">
        <f>AVERAGE('Customer Data'!K2:K31)</f>
        <v/>
      </c>
      <c r="D8" s="4" t="inlineStr">
        <is>
          <t>Status</t>
        </is>
      </c>
      <c r="E8" s="4" t="inlineStr">
        <is>
          <t>Customers</t>
        </is>
      </c>
    </row>
    <row r="9">
      <c r="A9" t="inlineStr">
        <is>
          <t>Active Customers</t>
        </is>
      </c>
      <c r="B9">
        <f>COUNTIF('Customer Data'!F2:F31,"Active")</f>
        <v/>
      </c>
      <c r="D9" t="inlineStr">
        <is>
          <t>Active</t>
        </is>
      </c>
      <c r="E9">
        <f>COUNTIF('Customer Data'!F2:F31,D9)</f>
        <v/>
      </c>
      <c r="H9" s="6" t="inlineStr">
        <is>
          <t>Portfolio Insights</t>
        </is>
      </c>
    </row>
    <row r="10">
      <c r="A10" t="inlineStr">
        <is>
          <t>SME Customers</t>
        </is>
      </c>
      <c r="B10">
        <f>COUNTIF('Customer Data'!D2:D31,"SME")</f>
        <v/>
      </c>
      <c r="D10" t="inlineStr">
        <is>
          <t>Inactive</t>
        </is>
      </c>
      <c r="E10">
        <f>COUNTIF('Customer Data'!F2:F31,D10)</f>
        <v/>
      </c>
      <c r="H10" s="7" t="inlineStr">
        <is>
          <t>1. The analysis summarizes customer activity, balances, channels and satisfaction.</t>
        </is>
      </c>
    </row>
    <row r="11">
      <c r="D11" t="inlineStr">
        <is>
          <t>Pending</t>
        </is>
      </c>
      <c r="E11">
        <f>COUNTIF('Customer Data'!F2:F31,D11)</f>
        <v/>
      </c>
      <c r="H11" s="7" t="inlineStr">
        <is>
          <t>2. COUNTIF/AVERAGEIF were used to compare customer groups.</t>
        </is>
      </c>
    </row>
    <row r="12">
      <c r="H12" s="7" t="inlineStr">
        <is>
          <t>3. The dataset can support decisions around customer engagement and service channels.</t>
        </is>
      </c>
    </row>
    <row r="13">
      <c r="H13" s="7" t="inlineStr">
        <is>
          <t>4. Data is simulated for portfolio demonstration and is not real customer information.</t>
        </is>
      </c>
    </row>
  </sheetData>
  <mergeCells count="4">
    <mergeCell ref="H11:K11"/>
    <mergeCell ref="H10:K10"/>
    <mergeCell ref="H12:K12"/>
    <mergeCell ref="H13:K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2026-10-06T11:03:15Z</dcterms:created>
  <dcterms:modified xmlns:dcterms="http://purl.org/dc/terms/" xmlns:xsi="http://www.w3.org/2001/XMLSchema-instance" xsi:type="dcterms:W3CDTF">2026-10-06T11:03:15Z</dcterms:modified>
</cp:coreProperties>
</file>