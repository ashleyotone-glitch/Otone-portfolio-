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'Dashboard'!$D$4:$D$15</f>
            </numRef>
          </cat>
          <val>
            <numRef>
              <f>'Dashboard'!$E$4:$E$15</f>
            </numRef>
          </val>
        </ser>
        <ser>
          <idx val="1"/>
          <order val="1"/>
          <tx>
            <strRef>
              <f>'Dashboard'!F3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'Dashboard'!$D$4:$D$15</f>
            </numRef>
          </cat>
          <val>
            <numRef>
              <f>'Dashboard'!$F$4:$F$15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&amp; Orders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'Business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'Business Data'!$A$2:$A$13</f>
            </numRef>
          </cat>
          <val>
            <numRef>
              <f>'Business Data'!$E$2:$E$13</f>
            </numRef>
          </val>
        </ser>
        <ser>
          <idx val="1"/>
          <order val="1"/>
          <tx>
            <strRef>
              <f>'Business 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'Business Data'!$A$2:$A$13</f>
            </numRef>
          </cat>
          <val>
            <numRef>
              <f>'Business Data'!$F$2:$F$13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usinessTable" displayName="BusinessTable" ref="A1:G13" headerRowCount="1">
  <autoFilter ref="A1:G13"/>
  <tableColumns count="7">
    <tableColumn id="1" name="Month"/>
    <tableColumn id="2" name="Revenue (₦)"/>
    <tableColumn id="3" name="Expenses (₦)"/>
    <tableColumn id="4" name="Profit (₦)"/>
    <tableColumn id="5" name="Customers"/>
    <tableColumn id="6" name="Orders"/>
    <tableColumn id="7" name="Profit Margi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Revenue (₦)</t>
        </is>
      </c>
      <c r="C1" s="1" t="inlineStr">
        <is>
          <t>Expenses (₦)</t>
        </is>
      </c>
      <c r="D1" s="1" t="inlineStr">
        <is>
          <t>Profit (₦)</t>
        </is>
      </c>
      <c r="E1" s="1" t="inlineStr">
        <is>
          <t>Customers</t>
        </is>
      </c>
      <c r="F1" s="1" t="inlineStr">
        <is>
          <t>Orders</t>
        </is>
      </c>
      <c r="G1" s="1" t="inlineStr">
        <is>
          <t>Profit Margin</t>
        </is>
      </c>
    </row>
    <row r="2">
      <c r="A2" t="inlineStr">
        <is>
          <t>Jan</t>
        </is>
      </c>
      <c r="B2" s="2" t="n">
        <v>1850000</v>
      </c>
      <c r="C2" s="2" t="n">
        <v>1210000</v>
      </c>
      <c r="D2" s="2">
        <f>B2-C2</f>
        <v/>
      </c>
      <c r="E2" t="n">
        <v>142</v>
      </c>
      <c r="F2" t="n">
        <v>196</v>
      </c>
      <c r="G2" s="3">
        <f>D2/B2</f>
        <v/>
      </c>
    </row>
    <row r="3">
      <c r="A3" t="inlineStr">
        <is>
          <t>Feb</t>
        </is>
      </c>
      <c r="B3" s="2" t="n">
        <v>2010000</v>
      </c>
      <c r="C3" s="2" t="n">
        <v>1280000</v>
      </c>
      <c r="D3" s="2">
        <f>B3-C3</f>
        <v/>
      </c>
      <c r="E3" t="n">
        <v>151</v>
      </c>
      <c r="F3" t="n">
        <v>211</v>
      </c>
      <c r="G3" s="3">
        <f>D3/B3</f>
        <v/>
      </c>
    </row>
    <row r="4">
      <c r="A4" t="inlineStr">
        <is>
          <t>Mar</t>
        </is>
      </c>
      <c r="B4" s="2" t="n">
        <v>1940000</v>
      </c>
      <c r="C4" s="2" t="n">
        <v>1260000</v>
      </c>
      <c r="D4" s="2">
        <f>B4-C4</f>
        <v/>
      </c>
      <c r="E4" t="n">
        <v>148</v>
      </c>
      <c r="F4" t="n">
        <v>205</v>
      </c>
      <c r="G4" s="3">
        <f>D4/B4</f>
        <v/>
      </c>
    </row>
    <row r="5">
      <c r="A5" t="inlineStr">
        <is>
          <t>Apr</t>
        </is>
      </c>
      <c r="B5" s="2" t="n">
        <v>2230000</v>
      </c>
      <c r="C5" s="2" t="n">
        <v>1390000</v>
      </c>
      <c r="D5" s="2">
        <f>B5-C5</f>
        <v/>
      </c>
      <c r="E5" t="n">
        <v>165</v>
      </c>
      <c r="F5" t="n">
        <v>229</v>
      </c>
      <c r="G5" s="3">
        <f>D5/B5</f>
        <v/>
      </c>
    </row>
    <row r="6">
      <c r="A6" t="inlineStr">
        <is>
          <t>May</t>
        </is>
      </c>
      <c r="B6" s="2" t="n">
        <v>2380000</v>
      </c>
      <c r="C6" s="2" t="n">
        <v>1450000</v>
      </c>
      <c r="D6" s="2">
        <f>B6-C6</f>
        <v/>
      </c>
      <c r="E6" t="n">
        <v>173</v>
      </c>
      <c r="F6" t="n">
        <v>241</v>
      </c>
      <c r="G6" s="3">
        <f>D6/B6</f>
        <v/>
      </c>
    </row>
    <row r="7">
      <c r="A7" t="inlineStr">
        <is>
          <t>Jun</t>
        </is>
      </c>
      <c r="B7" s="2" t="n">
        <v>2510000</v>
      </c>
      <c r="C7" s="2" t="n">
        <v>1510000</v>
      </c>
      <c r="D7" s="2">
        <f>B7-C7</f>
        <v/>
      </c>
      <c r="E7" t="n">
        <v>181</v>
      </c>
      <c r="F7" t="n">
        <v>253</v>
      </c>
      <c r="G7" s="3">
        <f>D7/B7</f>
        <v/>
      </c>
    </row>
    <row r="8">
      <c r="A8" t="inlineStr">
        <is>
          <t>Jul</t>
        </is>
      </c>
      <c r="B8" s="2" t="n">
        <v>2440000</v>
      </c>
      <c r="C8" s="2" t="n">
        <v>1490000</v>
      </c>
      <c r="D8" s="2">
        <f>B8-C8</f>
        <v/>
      </c>
      <c r="E8" t="n">
        <v>178</v>
      </c>
      <c r="F8" t="n">
        <v>249</v>
      </c>
      <c r="G8" s="3">
        <f>D8/B8</f>
        <v/>
      </c>
    </row>
    <row r="9">
      <c r="A9" t="inlineStr">
        <is>
          <t>Aug</t>
        </is>
      </c>
      <c r="B9" s="2" t="n">
        <v>2690000</v>
      </c>
      <c r="C9" s="2" t="n">
        <v>1580000</v>
      </c>
      <c r="D9" s="2">
        <f>B9-C9</f>
        <v/>
      </c>
      <c r="E9" t="n">
        <v>194</v>
      </c>
      <c r="F9" t="n">
        <v>272</v>
      </c>
      <c r="G9" s="3">
        <f>D9/B9</f>
        <v/>
      </c>
    </row>
    <row r="10">
      <c r="A10" t="inlineStr">
        <is>
          <t>Sep</t>
        </is>
      </c>
      <c r="B10" s="2" t="n">
        <v>2810000</v>
      </c>
      <c r="C10" s="2" t="n">
        <v>1660000</v>
      </c>
      <c r="D10" s="2">
        <f>B10-C10</f>
        <v/>
      </c>
      <c r="E10" t="n">
        <v>205</v>
      </c>
      <c r="F10" t="n">
        <v>288</v>
      </c>
      <c r="G10" s="3">
        <f>D10/B10</f>
        <v/>
      </c>
    </row>
    <row r="11">
      <c r="A11" t="inlineStr">
        <is>
          <t>Oct</t>
        </is>
      </c>
      <c r="B11" s="2" t="n">
        <v>2960000</v>
      </c>
      <c r="C11" s="2" t="n">
        <v>1740000</v>
      </c>
      <c r="D11" s="2">
        <f>B11-C11</f>
        <v/>
      </c>
      <c r="E11" t="n">
        <v>214</v>
      </c>
      <c r="F11" t="n">
        <v>301</v>
      </c>
      <c r="G11" s="3">
        <f>D11/B11</f>
        <v/>
      </c>
    </row>
    <row r="12">
      <c r="A12" t="inlineStr">
        <is>
          <t>Nov</t>
        </is>
      </c>
      <c r="B12" s="2" t="n">
        <v>3150000</v>
      </c>
      <c r="C12" s="2" t="n">
        <v>1810000</v>
      </c>
      <c r="D12" s="2">
        <f>B12-C12</f>
        <v/>
      </c>
      <c r="E12" t="n">
        <v>228</v>
      </c>
      <c r="F12" t="n">
        <v>319</v>
      </c>
      <c r="G12" s="3">
        <f>D12/B12</f>
        <v/>
      </c>
    </row>
    <row r="13">
      <c r="A13" t="inlineStr">
        <is>
          <t>Dec</t>
        </is>
      </c>
      <c r="B13" s="2" t="n">
        <v>3380000</v>
      </c>
      <c r="C13" s="2" t="n">
        <v>1900000</v>
      </c>
      <c r="D13" s="2">
        <f>B13-C13</f>
        <v/>
      </c>
      <c r="E13" t="n">
        <v>241</v>
      </c>
      <c r="F13" t="n">
        <v>338</v>
      </c>
      <c r="G13" s="3">
        <f>D13/B13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4" max="4"/>
    <col width="18" customWidth="1" min="5" max="5"/>
    <col width="18" customWidth="1" min="6" max="6"/>
    <col width="14" customWidth="1" min="7" max="7"/>
    <col width="26" customWidth="1" min="9" max="9"/>
  </cols>
  <sheetData>
    <row r="1">
      <c r="A1" s="4" t="inlineStr">
        <is>
          <t>BUSINESS PERFORMANCE DASHBOARD</t>
        </is>
      </c>
    </row>
    <row r="3">
      <c r="A3" s="5" t="inlineStr">
        <is>
          <t>KPI</t>
        </is>
      </c>
      <c r="B3" s="5" t="inlineStr">
        <is>
          <t>Value</t>
        </is>
      </c>
      <c r="D3" s="5" t="inlineStr">
        <is>
          <t>Month</t>
        </is>
      </c>
      <c r="E3" s="5" t="inlineStr">
        <is>
          <t>Revenue</t>
        </is>
      </c>
      <c r="F3" s="5" t="inlineStr">
        <is>
          <t>Profit</t>
        </is>
      </c>
      <c r="G3" s="5" t="inlineStr">
        <is>
          <t>Margin</t>
        </is>
      </c>
      <c r="I3" s="5" t="inlineStr">
        <is>
          <t>Management Insights</t>
        </is>
      </c>
    </row>
    <row r="4">
      <c r="A4" t="inlineStr">
        <is>
          <t>Annual Revenue</t>
        </is>
      </c>
      <c r="B4" s="2">
        <f>SUM('Business Data'!B2:B13)</f>
        <v/>
      </c>
      <c r="D4">
        <f>'Business Data'!A2</f>
        <v/>
      </c>
      <c r="E4" s="2">
        <f>'Business Data'!B2</f>
        <v/>
      </c>
      <c r="F4" s="2">
        <f>'Business Data'!D2</f>
        <v/>
      </c>
      <c r="G4" s="3">
        <f>'Business Data'!G2</f>
        <v/>
      </c>
      <c r="I4" s="6" t="inlineStr">
        <is>
          <t>Revenue and profit trend upward across the year.</t>
        </is>
      </c>
    </row>
    <row r="5">
      <c r="A5" t="inlineStr">
        <is>
          <t>Annual Expenses</t>
        </is>
      </c>
      <c r="B5" s="2">
        <f>SUM('Business Data'!C2:C13)</f>
        <v/>
      </c>
      <c r="D5">
        <f>'Business Data'!A3</f>
        <v/>
      </c>
      <c r="E5" s="2">
        <f>'Business Data'!B3</f>
        <v/>
      </c>
      <c r="F5" s="2">
        <f>'Business Data'!D3</f>
        <v/>
      </c>
      <c r="G5" s="3">
        <f>'Business Data'!G3</f>
        <v/>
      </c>
      <c r="I5" s="6" t="inlineStr">
        <is>
          <t>Monitor expense growth so it does not outpace revenue.</t>
        </is>
      </c>
    </row>
    <row r="6">
      <c r="A6" t="inlineStr">
        <is>
          <t>Annual Profit</t>
        </is>
      </c>
      <c r="B6" s="2">
        <f>SUM('Business Data'!D2:D13)</f>
        <v/>
      </c>
      <c r="D6">
        <f>'Business Data'!A4</f>
        <v/>
      </c>
      <c r="E6" s="2">
        <f>'Business Data'!B4</f>
        <v/>
      </c>
      <c r="F6" s="2">
        <f>'Business Data'!D4</f>
        <v/>
      </c>
      <c r="G6" s="3">
        <f>'Business Data'!G4</f>
        <v/>
      </c>
      <c r="I6" s="6" t="inlineStr">
        <is>
          <t>Customer and order growth suggests improving demand.</t>
        </is>
      </c>
    </row>
    <row r="7">
      <c r="A7" t="inlineStr">
        <is>
          <t>Average Monthly Revenue</t>
        </is>
      </c>
      <c r="B7" s="2">
        <f>AVERAGE('Business Data'!B2:B13)</f>
        <v/>
      </c>
      <c r="D7">
        <f>'Business Data'!A5</f>
        <v/>
      </c>
      <c r="E7" s="2">
        <f>'Business Data'!B5</f>
        <v/>
      </c>
      <c r="F7" s="2">
        <f>'Business Data'!D5</f>
        <v/>
      </c>
      <c r="G7" s="3">
        <f>'Business Data'!G5</f>
        <v/>
      </c>
      <c r="I7" s="6" t="inlineStr">
        <is>
          <t>Use monthly KPIs to identify strong periods and investigate weaker ones.</t>
        </is>
      </c>
    </row>
    <row r="8">
      <c r="A8" t="inlineStr">
        <is>
          <t>Average Monthly Profit</t>
        </is>
      </c>
      <c r="B8" s="2">
        <f>AVERAGE('Business Data'!D2:D13)</f>
        <v/>
      </c>
      <c r="D8">
        <f>'Business Data'!A6</f>
        <v/>
      </c>
      <c r="E8" s="2">
        <f>'Business Data'!B6</f>
        <v/>
      </c>
      <c r="F8" s="2">
        <f>'Business Data'!D6</f>
        <v/>
      </c>
      <c r="G8" s="3">
        <f>'Business Data'!G6</f>
        <v/>
      </c>
      <c r="I8" s="6" t="inlineStr">
        <is>
          <t>Data is simulated for portfolio demonstration.</t>
        </is>
      </c>
    </row>
    <row r="9">
      <c r="A9" t="inlineStr">
        <is>
          <t>Total Customers</t>
        </is>
      </c>
      <c r="B9">
        <f>SUM('Business Data'!E2:E13)</f>
        <v/>
      </c>
      <c r="D9">
        <f>'Business Data'!A7</f>
        <v/>
      </c>
      <c r="E9" s="2">
        <f>'Business Data'!B7</f>
        <v/>
      </c>
      <c r="F9" s="2">
        <f>'Business Data'!D7</f>
        <v/>
      </c>
      <c r="G9" s="3">
        <f>'Business Data'!G7</f>
        <v/>
      </c>
    </row>
    <row r="10">
      <c r="A10" t="inlineStr">
        <is>
          <t>Total Orders</t>
        </is>
      </c>
      <c r="B10">
        <f>SUM('Business Data'!F2:F13)</f>
        <v/>
      </c>
      <c r="D10">
        <f>'Business Data'!A8</f>
        <v/>
      </c>
      <c r="E10" s="2">
        <f>'Business Data'!B8</f>
        <v/>
      </c>
      <c r="F10" s="2">
        <f>'Business Data'!D8</f>
        <v/>
      </c>
      <c r="G10" s="3">
        <f>'Business Data'!G8</f>
        <v/>
      </c>
    </row>
    <row r="11">
      <c r="A11" t="inlineStr">
        <is>
          <t>Annual Profit Margin</t>
        </is>
      </c>
      <c r="B11" s="3">
        <f>SUM('Business Data'!D2:D13)/SUM('Business Data'!B2:B13)</f>
        <v/>
      </c>
      <c r="D11">
        <f>'Business Data'!A9</f>
        <v/>
      </c>
      <c r="E11" s="2">
        <f>'Business Data'!B9</f>
        <v/>
      </c>
      <c r="F11" s="2">
        <f>'Business Data'!D9</f>
        <v/>
      </c>
      <c r="G11" s="3">
        <f>'Business Data'!G9</f>
        <v/>
      </c>
    </row>
    <row r="12">
      <c r="D12">
        <f>'Business Data'!A10</f>
        <v/>
      </c>
      <c r="E12" s="2">
        <f>'Business Data'!B10</f>
        <v/>
      </c>
      <c r="F12" s="2">
        <f>'Business Data'!D10</f>
        <v/>
      </c>
      <c r="G12" s="3">
        <f>'Business Data'!G10</f>
        <v/>
      </c>
    </row>
    <row r="13">
      <c r="D13">
        <f>'Business Data'!A11</f>
        <v/>
      </c>
      <c r="E13" s="2">
        <f>'Business Data'!B11</f>
        <v/>
      </c>
      <c r="F13" s="2">
        <f>'Business Data'!D11</f>
        <v/>
      </c>
      <c r="G13" s="3">
        <f>'Business Data'!G11</f>
        <v/>
      </c>
    </row>
    <row r="14">
      <c r="D14">
        <f>'Business Data'!A12</f>
        <v/>
      </c>
      <c r="E14" s="2">
        <f>'Business Data'!B12</f>
        <v/>
      </c>
      <c r="F14" s="2">
        <f>'Business Data'!D12</f>
        <v/>
      </c>
      <c r="G14" s="3">
        <f>'Business Data'!G12</f>
        <v/>
      </c>
    </row>
    <row r="15">
      <c r="D15">
        <f>'Business Data'!A13</f>
        <v/>
      </c>
      <c r="E15" s="2">
        <f>'Business Data'!B13</f>
        <v/>
      </c>
      <c r="F15" s="2">
        <f>'Business Data'!D13</f>
        <v/>
      </c>
      <c r="G15" s="3">
        <f>'Business Data'!G13</f>
        <v/>
      </c>
    </row>
  </sheetData>
  <mergeCells count="5">
    <mergeCell ref="I8:L8"/>
    <mergeCell ref="I4:L4"/>
    <mergeCell ref="I6:L6"/>
    <mergeCell ref="I7:L7"/>
    <mergeCell ref="I5:L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2026-10-06T11:13:49Z</dcterms:created>
  <dcterms:modified xmlns:dcterms="http://purl.org/dc/terms/" xmlns:xsi="http://www.w3.org/2001/XMLSchema-instance" xsi:type="dcterms:W3CDTF">2026-10-06T11:13:49Z</dcterms:modified>
</cp:coreProperties>
</file>